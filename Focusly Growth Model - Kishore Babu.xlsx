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Dashboard" sheetId="2" r:id="rId6"/>
    <sheet state="visible" name="Acquisition Funnel" sheetId="3" r:id="rId7"/>
    <sheet state="visible" name="Retention Curves" sheetId="4" r:id="rId8"/>
    <sheet state="visible" name="Revenue Projections" sheetId="5" r:id="rId9"/>
    <sheet state="visible" name="Sensitivity Analysis" sheetId="6" r:id="rId10"/>
  </sheets>
  <definedNames/>
  <calcPr/>
</workbook>
</file>

<file path=xl/sharedStrings.xml><?xml version="1.0" encoding="utf-8"?>
<sst xmlns="http://schemas.openxmlformats.org/spreadsheetml/2006/main" count="131" uniqueCount="115">
  <si>
    <t>FOCUSLY GROWTH MODEL</t>
  </si>
  <si>
    <t>A Bottom-up Growth Analysis</t>
  </si>
  <si>
    <t>Built by : Kishore Babu</t>
  </si>
  <si>
    <t>Date     : April 2026</t>
  </si>
  <si>
    <t>Tool      : Google Sheets</t>
  </si>
  <si>
    <t xml:space="preserve">What this Model contains : </t>
  </si>
  <si>
    <t xml:space="preserve">                                              Tab 1 - Acquisition Funnel</t>
  </si>
  <si>
    <t xml:space="preserve">                                              Tab 2 - Retention Curves</t>
  </si>
  <si>
    <t xml:space="preserve">                                              Tab 3 - Revenue Projections</t>
  </si>
  <si>
    <t xml:space="preserve">                                              Tab 4 - Sensitivity Analysis</t>
  </si>
  <si>
    <t>FOCUSLY GROWTH MODEL - EXECUTIVE DASHBOARD</t>
  </si>
  <si>
    <t>KEY METRICS</t>
  </si>
  <si>
    <t>Metric</t>
  </si>
  <si>
    <t>Value</t>
  </si>
  <si>
    <t>What it means</t>
  </si>
  <si>
    <t>Monthly Impressions</t>
  </si>
  <si>
    <t>People who see our ad monthly</t>
  </si>
  <si>
    <t>Monthly Clicks</t>
  </si>
  <si>
    <t>People who click our ad</t>
  </si>
  <si>
    <t>Monthly Signups</t>
  </si>
  <si>
    <t>People who create free account</t>
  </si>
  <si>
    <t>Monthly Paid Users</t>
  </si>
  <si>
    <t>People who pay $9.99</t>
  </si>
  <si>
    <t>Monthly Revenue</t>
  </si>
  <si>
    <t>Money made this month</t>
  </si>
  <si>
    <t>Annual Revenue</t>
  </si>
  <si>
    <t>Money made this Year</t>
  </si>
  <si>
    <t>Day 1 Retention</t>
  </si>
  <si>
    <t>Users still active after day 1</t>
  </si>
  <si>
    <t>Day 30 Retention</t>
  </si>
  <si>
    <t>Users still active after 30 days</t>
  </si>
  <si>
    <t>SCENARIO COMPARISON</t>
  </si>
  <si>
    <t xml:space="preserve">Scenario  </t>
  </si>
  <si>
    <t>Paid Users</t>
  </si>
  <si>
    <t>Worst Case</t>
  </si>
  <si>
    <t>Base Case</t>
  </si>
  <si>
    <t>Best Case</t>
  </si>
  <si>
    <t>Focusly Growth Model -- Acquisition Funnel</t>
  </si>
  <si>
    <t>Stage</t>
  </si>
  <si>
    <t>Numbers</t>
  </si>
  <si>
    <t>Conversion Rate</t>
  </si>
  <si>
    <t>What this Means</t>
  </si>
  <si>
    <t>Impressions</t>
  </si>
  <si>
    <t>People who see our ad</t>
  </si>
  <si>
    <t>Clicks</t>
  </si>
  <si>
    <t>People who click and visit our page</t>
  </si>
  <si>
    <t>Signups</t>
  </si>
  <si>
    <t>Activation</t>
  </si>
  <si>
    <t>People who actually use the app</t>
  </si>
  <si>
    <t>Revenue Users</t>
  </si>
  <si>
    <t>People who pay $9.99/month</t>
  </si>
  <si>
    <t>Price Per User</t>
  </si>
  <si>
    <t>Total Monthly Revenue</t>
  </si>
  <si>
    <t>Total Annual Revenue</t>
  </si>
  <si>
    <t>Sensitivity Analysis</t>
  </si>
  <si>
    <t>What if scenario</t>
  </si>
  <si>
    <t>Changed Value</t>
  </si>
  <si>
    <t>New Revenue</t>
  </si>
  <si>
    <t>Revenue Increase</t>
  </si>
  <si>
    <t>If CTR improves to 5%</t>
  </si>
  <si>
    <t>If signup Rate improves to 25%</t>
  </si>
  <si>
    <t>If Paid conversion improves to 8%</t>
  </si>
  <si>
    <t>Focusly Growth Model -- Retention Curves</t>
  </si>
  <si>
    <t>Day</t>
  </si>
  <si>
    <t>Users Remaining</t>
  </si>
  <si>
    <t>Retention Rate</t>
  </si>
  <si>
    <t>Day 0</t>
  </si>
  <si>
    <t>All users just downloaded the app</t>
  </si>
  <si>
    <t>Day 1</t>
  </si>
  <si>
    <t>Users opened app on day 1 -- good sign!</t>
  </si>
  <si>
    <t>Day 7</t>
  </si>
  <si>
    <t>Users still active after 1 week</t>
  </si>
  <si>
    <t>Day 30</t>
  </si>
  <si>
    <t>Users still active after 1 month</t>
  </si>
  <si>
    <t>Day 90</t>
  </si>
  <si>
    <t>Users still active after 3 months</t>
  </si>
  <si>
    <t>Drop Off Analysis</t>
  </si>
  <si>
    <t>Period</t>
  </si>
  <si>
    <t>Users Lost</t>
  </si>
  <si>
    <t>Drop Off Rate</t>
  </si>
  <si>
    <t>What this means</t>
  </si>
  <si>
    <t>Day 0 to Day 1</t>
  </si>
  <si>
    <t>Lost on very first day -- biggest problem!</t>
  </si>
  <si>
    <t>Day 1 to Day 7</t>
  </si>
  <si>
    <t>Lost in first week</t>
  </si>
  <si>
    <t>Day 7 to Day 30</t>
  </si>
  <si>
    <t>Lost in first month</t>
  </si>
  <si>
    <t>Day 30 to Day 90</t>
  </si>
  <si>
    <t>Lost in first 3 months</t>
  </si>
  <si>
    <t>Focusly Growth Model -- Revenue Projections</t>
  </si>
  <si>
    <t>Month</t>
  </si>
  <si>
    <t>New Users</t>
  </si>
  <si>
    <t>Total Active Users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</si>
  <si>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</si>
  <si>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</si>
  <si>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</si>
  <si>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</si>
  <si>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</si>
  <si>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</si>
  <si>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</si>
  <si>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</si>
  <si>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</si>
  <si>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</si>
  <si>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</si>
  <si>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</si>
  <si>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TOTAL</t>
  </si>
  <si>
    <t>Focusly Growth Model -- Sensitivity Analysis</t>
  </si>
  <si>
    <t>Assumptions</t>
  </si>
  <si>
    <t>CTR (Ad Click Rate)</t>
  </si>
  <si>
    <t>Signup Rate</t>
  </si>
  <si>
    <t>Activation Rate</t>
  </si>
  <si>
    <t>Paid Conversion Rate</t>
  </si>
  <si>
    <t>Monthly Price</t>
  </si>
  <si>
    <t>Results</t>
  </si>
  <si>
    <t>Monthly Active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</si>
</sst>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36.0"/>
      <color rgb="FFFFFFFF"/>
      <name val="Arial"/>
      <scheme val="minor"/>
    </font>
    <font>
      <color theme="1"/>
      <name val="Arial"/>
      <scheme val="minor"/>
    </font>
    <font>
      <sz val="24.0"/>
      <color theme="1"/>
      <name val="Arial"/>
      <scheme val="minor"/>
    </font>
    <font>
      <sz val="14.0"/>
      <color theme="1"/>
      <name val="Arial"/>
      <scheme val="minor"/>
    </font>
    <font>
      <b/>
      <color rgb="FFFFFFFF"/>
      <name val="Arial"/>
      <scheme val="minor"/>
    </font>
    <font>
      <b/>
      <sz val="14.0"/>
      <color rgb="FFFFFFFF"/>
      <name val="Arial"/>
      <scheme val="minor"/>
    </font>
    <font>
      <sz val="14.0"/>
      <color rgb="FFFFFFFF"/>
      <name val="Arial"/>
      <scheme val="minor"/>
    </font>
    <font>
      <b/>
      <sz val="20.0"/>
      <color rgb="FFFFFFFF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674EA7"/>
        <bgColor rgb="FF674EA7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</fills>
  <borders count="4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Border="1" applyFill="1" applyFont="1"/>
    <xf borderId="0" fillId="3" fontId="2" numFmtId="0" xfId="0" applyFont="1"/>
    <xf borderId="0" fillId="4" fontId="3" numFmtId="0" xfId="0" applyAlignment="1" applyFill="1" applyFont="1">
      <alignment readingOrder="0"/>
    </xf>
    <xf borderId="0" fillId="5" fontId="2" numFmtId="0" xfId="0" applyFill="1" applyFont="1"/>
    <xf borderId="0" fillId="6" fontId="4" numFmtId="0" xfId="0" applyAlignment="1" applyFill="1" applyFont="1">
      <alignment readingOrder="0"/>
    </xf>
    <xf borderId="0" fillId="6" fontId="5" numFmtId="0" xfId="0" applyAlignment="1" applyFont="1">
      <alignment readingOrder="0"/>
    </xf>
    <xf borderId="0" fillId="7" fontId="6" numFmtId="0" xfId="0" applyAlignment="1" applyFill="1" applyFont="1">
      <alignment readingOrder="0"/>
    </xf>
    <xf borderId="2" fillId="0" fontId="2" numFmtId="0" xfId="0" applyBorder="1" applyFont="1"/>
    <xf borderId="0" fillId="7" fontId="7" numFmtId="0" xfId="0" applyAlignment="1" applyFont="1">
      <alignment readingOrder="0"/>
    </xf>
    <xf borderId="3" fillId="3" fontId="4" numFmtId="0" xfId="0" applyBorder="1" applyFont="1"/>
    <xf borderId="0" fillId="3" fontId="4" numFmtId="0" xfId="0" applyFont="1"/>
    <xf borderId="0" fillId="8" fontId="8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2" fillId="9" fontId="5" numFmtId="0" xfId="0" applyAlignment="1" applyBorder="1" applyFont="1">
      <alignment readingOrder="0"/>
    </xf>
    <xf borderId="2" fillId="10" fontId="2" numFmtId="0" xfId="0" applyAlignment="1" applyBorder="1" applyFill="1" applyFont="1">
      <alignment readingOrder="0"/>
    </xf>
    <xf borderId="2" fillId="10" fontId="2" numFmtId="0" xfId="0" applyBorder="1" applyFont="1"/>
    <xf borderId="2" fillId="11" fontId="2" numFmtId="0" xfId="0" applyAlignment="1" applyBorder="1" applyFill="1" applyFont="1">
      <alignment readingOrder="0"/>
    </xf>
    <xf borderId="2" fillId="11" fontId="2" numFmtId="0" xfId="0" applyBorder="1" applyFont="1"/>
    <xf borderId="2" fillId="12" fontId="2" numFmtId="0" xfId="0" applyAlignment="1" applyBorder="1" applyFill="1" applyFont="1">
      <alignment readingOrder="0"/>
    </xf>
    <xf borderId="2" fillId="12" fontId="2" numFmtId="0" xfId="0" applyBorder="1" applyFont="1"/>
    <xf borderId="2" fillId="13" fontId="2" numFmtId="0" xfId="0" applyAlignment="1" applyBorder="1" applyFill="1" applyFont="1">
      <alignment readingOrder="0"/>
    </xf>
    <xf borderId="2" fillId="13" fontId="2" numFmtId="0" xfId="0" applyBorder="1" applyFont="1"/>
    <xf borderId="2" fillId="10" fontId="2" numFmtId="9" xfId="0" applyBorder="1" applyFont="1" applyNumberFormat="1"/>
    <xf borderId="2" fillId="13" fontId="2" numFmtId="9" xfId="0" applyBorder="1" applyFont="1" applyNumberFormat="1"/>
    <xf borderId="0" fillId="8" fontId="6" numFmtId="0" xfId="0" applyAlignment="1" applyFont="1">
      <alignment readingOrder="0"/>
    </xf>
    <xf borderId="2" fillId="14" fontId="2" numFmtId="0" xfId="0" applyAlignment="1" applyBorder="1" applyFill="1" applyFont="1">
      <alignment readingOrder="0"/>
    </xf>
    <xf borderId="2" fillId="14" fontId="2" numFmtId="0" xfId="0" applyBorder="1" applyFont="1"/>
    <xf borderId="0" fillId="0" fontId="2" numFmtId="0" xfId="0" applyAlignment="1" applyFont="1">
      <alignment readingOrder="0"/>
    </xf>
    <xf borderId="2" fillId="9" fontId="5" numFmtId="0" xfId="0" applyAlignment="1" applyBorder="1" applyFont="1">
      <alignment horizontal="center" readingOrder="0"/>
    </xf>
    <xf borderId="2" fillId="10" fontId="2" numFmtId="0" xfId="0" applyAlignment="1" applyBorder="1" applyFont="1">
      <alignment horizontal="center" readingOrder="0"/>
    </xf>
    <xf borderId="2" fillId="10" fontId="2" numFmtId="9" xfId="0" applyAlignment="1" applyBorder="1" applyFont="1" applyNumberFormat="1">
      <alignment horizontal="center" readingOrder="0"/>
    </xf>
    <xf borderId="2" fillId="15" fontId="2" numFmtId="0" xfId="0" applyAlignment="1" applyBorder="1" applyFill="1" applyFont="1">
      <alignment readingOrder="0"/>
    </xf>
    <xf borderId="2" fillId="15" fontId="2" numFmtId="0" xfId="0" applyAlignment="1" applyBorder="1" applyFont="1">
      <alignment horizontal="center" readingOrder="0"/>
    </xf>
    <xf borderId="2" fillId="15" fontId="2" numFmtId="9" xfId="0" applyAlignment="1" applyBorder="1" applyFont="1" applyNumberFormat="1">
      <alignment horizontal="center" readingOrder="0"/>
    </xf>
    <xf borderId="2" fillId="12" fontId="2" numFmtId="0" xfId="0" applyAlignment="1" applyBorder="1" applyFont="1">
      <alignment horizontal="center"/>
    </xf>
    <xf borderId="2" fillId="12" fontId="2" numFmtId="9" xfId="0" applyAlignment="1" applyBorder="1" applyFont="1" applyNumberFormat="1">
      <alignment horizontal="center" readingOrder="0"/>
    </xf>
    <xf borderId="2" fillId="16" fontId="2" numFmtId="0" xfId="0" applyAlignment="1" applyBorder="1" applyFill="1" applyFont="1">
      <alignment readingOrder="0"/>
    </xf>
    <xf borderId="2" fillId="16" fontId="2" numFmtId="0" xfId="0" applyAlignment="1" applyBorder="1" applyFont="1">
      <alignment horizontal="center"/>
    </xf>
    <xf borderId="2" fillId="16" fontId="2" numFmtId="9" xfId="0" applyAlignment="1" applyBorder="1" applyFont="1" applyNumberFormat="1">
      <alignment horizontal="center" readingOrder="0"/>
    </xf>
    <xf borderId="2" fillId="14" fontId="2" numFmtId="0" xfId="0" applyAlignment="1" applyBorder="1" applyFont="1">
      <alignment horizontal="center"/>
    </xf>
    <xf borderId="2" fillId="14" fontId="2" numFmtId="9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/>
    </xf>
    <xf borderId="2" fillId="17" fontId="9" numFmtId="0" xfId="0" applyAlignment="1" applyBorder="1" applyFill="1" applyFont="1">
      <alignment readingOrder="0"/>
    </xf>
    <xf borderId="2" fillId="17" fontId="9" numFmtId="0" xfId="0" applyAlignment="1" applyBorder="1" applyFont="1">
      <alignment horizontal="center" readingOrder="0"/>
    </xf>
    <xf borderId="2" fillId="17" fontId="9" numFmtId="0" xfId="0" applyAlignment="1" applyBorder="1" applyFont="1">
      <alignment horizontal="center"/>
    </xf>
    <xf borderId="2" fillId="18" fontId="5" numFmtId="0" xfId="0" applyAlignment="1" applyBorder="1" applyFill="1" applyFont="1">
      <alignment readingOrder="0"/>
    </xf>
    <xf borderId="2" fillId="0" fontId="9" numFmtId="0" xfId="0" applyAlignment="1" applyBorder="1" applyFont="1">
      <alignment readingOrder="0"/>
    </xf>
    <xf borderId="2" fillId="0" fontId="9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9" xfId="0" applyAlignment="1" applyBorder="1" applyFont="1" applyNumberFormat="1">
      <alignment horizontal="center" readingOrder="0"/>
    </xf>
    <xf borderId="2" fillId="15" fontId="2" numFmtId="0" xfId="0" applyBorder="1" applyFont="1"/>
    <xf borderId="2" fillId="15" fontId="2" numFmtId="0" xfId="0" applyAlignment="1" applyBorder="1" applyFont="1">
      <alignment horizontal="center"/>
    </xf>
    <xf borderId="2" fillId="8" fontId="5" numFmtId="0" xfId="0" applyAlignment="1" applyBorder="1" applyFont="1">
      <alignment readingOrder="0"/>
    </xf>
    <xf borderId="2" fillId="18" fontId="10" numFmtId="0" xfId="0" applyAlignment="1" applyBorder="1" applyFont="1">
      <alignment readingOrder="0"/>
    </xf>
    <xf borderId="2" fillId="18" fontId="10" numFmtId="9" xfId="0" applyAlignment="1" applyBorder="1" applyFont="1" applyNumberFormat="1">
      <alignment readingOrder="0"/>
    </xf>
    <xf borderId="2" fillId="19" fontId="11" numFmtId="0" xfId="0" applyAlignment="1" applyBorder="1" applyFill="1" applyFont="1">
      <alignment readingOrder="0"/>
    </xf>
    <xf borderId="2" fillId="19" fontId="11" numFmtId="9" xfId="0" applyAlignment="1" applyBorder="1" applyFont="1" applyNumberFormat="1">
      <alignment readingOrder="0"/>
    </xf>
    <xf borderId="2" fillId="20" fontId="11" numFmtId="0" xfId="0" applyAlignment="1" applyBorder="1" applyFill="1" applyFont="1">
      <alignment readingOrder="0"/>
    </xf>
    <xf borderId="2" fillId="20" fontId="11" numFmtId="9" xfId="0" applyAlignment="1" applyBorder="1" applyFont="1" applyNumberFormat="1">
      <alignment readingOrder="0"/>
    </xf>
    <xf borderId="2" fillId="16" fontId="11" numFmtId="0" xfId="0" applyAlignment="1" applyBorder="1" applyFont="1">
      <alignment readingOrder="0"/>
    </xf>
    <xf borderId="2" fillId="16" fontId="11" numFmtId="9" xfId="0" applyAlignment="1" applyBorder="1" applyFont="1" applyNumberFormat="1">
      <alignment readingOrder="0"/>
    </xf>
    <xf borderId="2" fillId="21" fontId="11" numFmtId="0" xfId="0" applyAlignment="1" applyBorder="1" applyFill="1" applyFont="1">
      <alignment readingOrder="0"/>
    </xf>
    <xf borderId="2" fillId="21" fontId="11" numFmtId="9" xfId="0" applyAlignment="1" applyBorder="1" applyFont="1" applyNumberFormat="1">
      <alignment readingOrder="0"/>
    </xf>
    <xf borderId="0" fillId="22" fontId="5" numFmtId="0" xfId="0" applyAlignment="1" applyFill="1" applyFont="1">
      <alignment readingOrder="0"/>
    </xf>
    <xf borderId="2" fillId="23" fontId="2" numFmtId="0" xfId="0" applyAlignment="1" applyBorder="1" applyFill="1" applyFont="1">
      <alignment readingOrder="0"/>
    </xf>
    <xf borderId="2" fillId="23" fontId="2" numFmtId="0" xfId="0" applyBorder="1" applyFont="1"/>
    <xf borderId="2" fillId="23" fontId="2" numFmtId="10" xfId="0" applyBorder="1" applyFont="1" applyNumberFormat="1"/>
    <xf borderId="0" fillId="24" fontId="10" numFmtId="0" xfId="0" applyAlignment="1" applyFill="1" applyFont="1">
      <alignment readingOrder="0"/>
    </xf>
    <xf borderId="2" fillId="0" fontId="2" numFmtId="0" xfId="0" applyAlignment="1" applyBorder="1" applyFont="1">
      <alignment horizontal="center" readingOrder="0"/>
    </xf>
    <xf borderId="2" fillId="25" fontId="2" numFmtId="0" xfId="0" applyAlignment="1" applyBorder="1" applyFill="1" applyFont="1">
      <alignment readingOrder="0"/>
    </xf>
    <xf borderId="2" fillId="25" fontId="2" numFmtId="0" xfId="0" applyAlignment="1" applyBorder="1" applyFont="1">
      <alignment horizontal="center" readingOrder="0"/>
    </xf>
    <xf borderId="2" fillId="25" fontId="2" numFmtId="0" xfId="0" applyAlignment="1" applyBorder="1" applyFont="1">
      <alignment horizontal="center"/>
    </xf>
    <xf borderId="0" fillId="26" fontId="5" numFmtId="0" xfId="0" applyAlignment="1" applyFill="1" applyFont="1">
      <alignment readingOrder="0"/>
    </xf>
    <xf borderId="0" fillId="26" fontId="10" numFmtId="0" xfId="0" applyFont="1"/>
    <xf borderId="0" fillId="23" fontId="9" numFmtId="0" xfId="0" applyAlignment="1" applyFont="1">
      <alignment readingOrder="0"/>
    </xf>
    <xf borderId="0" fillId="12" fontId="9" numFmtId="0" xfId="0" applyAlignment="1" applyFont="1">
      <alignment readingOrder="0"/>
    </xf>
    <xf borderId="0" fillId="15" fontId="9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2" fillId="27" fontId="5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Focusly Revenue - 3 Scenarios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Dashboard!$B$14:$B$15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Dashboard!$A$16:$A$18</c:f>
            </c:strRef>
          </c:cat>
          <c:val>
            <c:numRef>
              <c:f>Dashboard!$B$16:$B$18</c:f>
              <c:numCache/>
            </c:numRef>
          </c:val>
        </c:ser>
        <c:ser>
          <c:idx val="1"/>
          <c:order val="1"/>
          <c:tx>
            <c:strRef>
              <c:f>Dashboard!$C$14:$C$15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Dashboard!$A$16:$A$18</c:f>
            </c:strRef>
          </c:cat>
          <c:val>
            <c:numRef>
              <c:f>Dashboard!$C$16:$C$18</c:f>
              <c:numCache/>
            </c:numRef>
          </c:val>
        </c:ser>
        <c:ser>
          <c:idx val="2"/>
          <c:order val="2"/>
          <c:tx>
            <c:strRef>
              <c:f>Dashboard!$D$14:$D$15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Dashboard!$A$16:$A$18</c:f>
            </c:strRef>
          </c:cat>
          <c:val>
            <c:numRef>
              <c:f>Dashboard!$D$16:$D$18</c:f>
              <c:numCache/>
            </c:numRef>
          </c:val>
        </c:ser>
        <c:axId val="1242570936"/>
        <c:axId val="702001706"/>
      </c:barChart>
      <c:catAx>
        <c:axId val="1242570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Scenario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001706"/>
      </c:catAx>
      <c:valAx>
        <c:axId val="702001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570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Focusly Acquisition Funnel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'Acquisition Funnel'!$B$3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'Acquisition Funnel'!$A$4:$A$8</c:f>
            </c:strRef>
          </c:cat>
          <c:val>
            <c:numRef>
              <c:f>'Acquisition Funnel'!$B$4:$B$8</c:f>
              <c:numCache/>
            </c:numRef>
          </c:val>
        </c:ser>
        <c:axId val="1876102484"/>
        <c:axId val="625429208"/>
      </c:barChart>
      <c:catAx>
        <c:axId val="18761024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429208"/>
      </c:catAx>
      <c:valAx>
        <c:axId val="6254292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1024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Focusly User Retention Curve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'Retention Curves'!$B$3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'Retention Curves'!$A$4:$A$8</c:f>
            </c:strRef>
          </c:cat>
          <c:val>
            <c:numRef>
              <c:f>'Retention Curves'!$B$4:$B$8</c:f>
              <c:numCache/>
            </c:numRef>
          </c:val>
          <c:smooth val="0"/>
        </c:ser>
        <c:axId val="610625914"/>
        <c:axId val="1155122446"/>
      </c:lineChart>
      <c:catAx>
        <c:axId val="610625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122446"/>
      </c:catAx>
      <c:valAx>
        <c:axId val="1155122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Users Remaining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6259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Focusly 12 Month Revenue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'Revenue Projections'!$E$3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'Revenue Projections'!$A$4:$A$15</c:f>
            </c:strRef>
          </c:cat>
          <c:val>
            <c:numRef>
              <c:f>'Revenue Projections'!$E$4:$E$15</c:f>
              <c:numCache/>
            </c:numRef>
          </c:val>
          <c:smooth val="0"/>
        </c:ser>
        <c:axId val="56362545"/>
        <c:axId val="1014301697"/>
      </c:lineChart>
      <c:catAx>
        <c:axId val="56362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4301697"/>
      </c:catAx>
      <c:valAx>
        <c:axId val="1014301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625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4305300</xdr:colOff>
      <xdr:row>20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2352675</xdr:colOff>
      <xdr:row>20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495300</xdr:colOff>
      <xdr:row>1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2552700</xdr:colOff>
      <xdr:row>18</xdr:row>
      <xdr:rowOff>104775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workbookViewId="0"/>
  </sheetViews>
  <sheetFormatPr customHeight="1" defaultColWidth="12.63" defaultRowHeight="15.75"/>
  <cols>
    <col customWidth="1" min="1" max="1" width="12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3"/>
      <c r="C2" s="3"/>
      <c r="D2" s="3"/>
      <c r="E2" s="3"/>
    </row>
    <row r="3">
      <c r="A3" s="5"/>
      <c r="B3" s="3"/>
      <c r="C3" s="3"/>
      <c r="D3" s="3"/>
      <c r="E3" s="3"/>
    </row>
    <row r="4">
      <c r="A4" s="6" t="s">
        <v>2</v>
      </c>
      <c r="B4" s="3"/>
      <c r="C4" s="3"/>
      <c r="D4" s="3"/>
      <c r="E4" s="3"/>
    </row>
    <row r="5">
      <c r="A5" s="6" t="s">
        <v>3</v>
      </c>
      <c r="B5" s="3"/>
      <c r="C5" s="3"/>
      <c r="D5" s="3"/>
      <c r="E5" s="3"/>
    </row>
    <row r="6">
      <c r="A6" s="6" t="s">
        <v>4</v>
      </c>
      <c r="B6" s="3"/>
      <c r="C6" s="3"/>
      <c r="D6" s="3"/>
      <c r="E6" s="3"/>
    </row>
    <row r="7">
      <c r="A7" s="7"/>
      <c r="B7" s="3"/>
      <c r="C7" s="3"/>
      <c r="D7" s="3"/>
      <c r="E7" s="3"/>
    </row>
    <row r="8">
      <c r="A8" s="8" t="s">
        <v>5</v>
      </c>
      <c r="B8" s="3"/>
      <c r="C8" s="3"/>
      <c r="D8" s="3"/>
      <c r="E8" s="3"/>
      <c r="G8" s="9"/>
    </row>
    <row r="9">
      <c r="A9" s="10" t="s">
        <v>6</v>
      </c>
      <c r="B9" s="3"/>
      <c r="C9" s="3"/>
      <c r="D9" s="3"/>
      <c r="E9" s="3"/>
    </row>
    <row r="10">
      <c r="A10" s="10" t="s">
        <v>7</v>
      </c>
      <c r="B10" s="3"/>
      <c r="C10" s="3"/>
      <c r="D10" s="3"/>
      <c r="E10" s="3"/>
    </row>
    <row r="11">
      <c r="A11" s="10" t="s">
        <v>8</v>
      </c>
      <c r="B11" s="3"/>
      <c r="C11" s="3"/>
      <c r="D11" s="3"/>
      <c r="E11" s="3"/>
    </row>
    <row r="12">
      <c r="A12" s="10" t="s">
        <v>9</v>
      </c>
      <c r="B12" s="3"/>
      <c r="C12" s="3"/>
      <c r="D12" s="3"/>
      <c r="E12" s="3"/>
    </row>
    <row r="13">
      <c r="A13" s="11"/>
      <c r="B13" s="3"/>
      <c r="C13" s="3"/>
      <c r="D13" s="3"/>
      <c r="E13" s="3"/>
    </row>
    <row r="14">
      <c r="A14" s="12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13"/>
    <col customWidth="1" min="2" max="2" width="14.75"/>
    <col customWidth="1" min="3" max="3" width="24.38"/>
    <col customWidth="1" min="4" max="4" width="9.63"/>
  </cols>
  <sheetData>
    <row r="1">
      <c r="A1" s="13" t="s">
        <v>10</v>
      </c>
    </row>
    <row r="3">
      <c r="A3" s="14" t="s">
        <v>11</v>
      </c>
    </row>
    <row r="4">
      <c r="A4" s="15" t="s">
        <v>12</v>
      </c>
      <c r="B4" s="15" t="s">
        <v>13</v>
      </c>
      <c r="C4" s="15" t="s">
        <v>14</v>
      </c>
    </row>
    <row r="5">
      <c r="A5" s="16" t="s">
        <v>15</v>
      </c>
      <c r="B5" s="17">
        <f>'Acquisition Funnel'!B4</f>
        <v>100000</v>
      </c>
      <c r="C5" s="16" t="s">
        <v>16</v>
      </c>
    </row>
    <row r="6">
      <c r="A6" s="18" t="s">
        <v>17</v>
      </c>
      <c r="B6" s="19">
        <f>'Acquisition Funnel'!B5</f>
        <v>3000</v>
      </c>
      <c r="C6" s="18" t="s">
        <v>18</v>
      </c>
    </row>
    <row r="7">
      <c r="A7" s="20" t="s">
        <v>19</v>
      </c>
      <c r="B7" s="21">
        <f>'Acquisition Funnel'!B6</f>
        <v>600</v>
      </c>
      <c r="C7" s="20" t="s">
        <v>20</v>
      </c>
    </row>
    <row r="8">
      <c r="A8" s="22" t="s">
        <v>21</v>
      </c>
      <c r="B8" s="23">
        <f>'Acquisition Funnel'!B8</f>
        <v>12</v>
      </c>
      <c r="C8" s="22" t="s">
        <v>22</v>
      </c>
    </row>
    <row r="9">
      <c r="A9" s="18" t="s">
        <v>23</v>
      </c>
      <c r="B9" s="19">
        <f>'Acquisition Funnel'!B12</f>
        <v>119.88</v>
      </c>
      <c r="C9" s="18" t="s">
        <v>24</v>
      </c>
    </row>
    <row r="10">
      <c r="A10" s="18" t="s">
        <v>25</v>
      </c>
      <c r="B10" s="19">
        <f>'Acquisition Funnel'!B13</f>
        <v>1438.56</v>
      </c>
      <c r="C10" s="18" t="s">
        <v>26</v>
      </c>
    </row>
    <row r="11">
      <c r="A11" s="16" t="s">
        <v>27</v>
      </c>
      <c r="B11" s="24">
        <f>'Retention Curves'!C5</f>
        <v>0.75</v>
      </c>
      <c r="C11" s="16" t="s">
        <v>28</v>
      </c>
    </row>
    <row r="12">
      <c r="A12" s="22" t="s">
        <v>29</v>
      </c>
      <c r="B12" s="25">
        <f>'Retention Curves'!C7</f>
        <v>0.4</v>
      </c>
      <c r="C12" s="22" t="s">
        <v>30</v>
      </c>
    </row>
    <row r="14">
      <c r="A14" s="26" t="s">
        <v>31</v>
      </c>
    </row>
    <row r="15">
      <c r="A15" s="15" t="s">
        <v>32</v>
      </c>
      <c r="B15" s="15" t="s">
        <v>23</v>
      </c>
      <c r="C15" s="15" t="s">
        <v>25</v>
      </c>
      <c r="D15" s="15" t="s">
        <v>33</v>
      </c>
    </row>
    <row r="16">
      <c r="A16" s="27" t="s">
        <v>34</v>
      </c>
      <c r="B16" s="28">
        <f>'Sensitivity Analysis'!B16</f>
        <v>3.996</v>
      </c>
      <c r="C16" s="28">
        <f>'Sensitivity Analysis'!B17</f>
        <v>47.952</v>
      </c>
      <c r="D16" s="28">
        <f>'Sensitivity Analysis'!B15</f>
        <v>0.4</v>
      </c>
    </row>
    <row r="17">
      <c r="A17" s="20" t="s">
        <v>35</v>
      </c>
      <c r="B17" s="21">
        <f>'Sensitivity Analysis'!C16</f>
        <v>119.88</v>
      </c>
      <c r="C17" s="21">
        <f>'Sensitivity Analysis'!C17</f>
        <v>1438.56</v>
      </c>
      <c r="D17" s="21">
        <f>'Sensitivity Analysis'!C15</f>
        <v>12</v>
      </c>
    </row>
    <row r="18">
      <c r="A18" s="18" t="s">
        <v>36</v>
      </c>
      <c r="B18" s="19">
        <f>'Sensitivity Analysis'!D16</f>
        <v>719.28</v>
      </c>
      <c r="C18" s="18">
        <f>'Sensitivity Analysis'!D17</f>
        <v>8631.36</v>
      </c>
      <c r="D18" s="19">
        <f>'Sensitivity Analysis'!D15</f>
        <v>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13.0"/>
    <col customWidth="1" min="3" max="3" width="14.25"/>
    <col customWidth="1" min="4" max="4" width="27.0"/>
    <col customWidth="1" min="5" max="5" width="13.38"/>
  </cols>
  <sheetData>
    <row r="1">
      <c r="A1" s="29" t="s">
        <v>37</v>
      </c>
    </row>
    <row r="2">
      <c r="A2" s="29"/>
    </row>
    <row r="3">
      <c r="A3" s="15" t="s">
        <v>38</v>
      </c>
      <c r="B3" s="30" t="s">
        <v>39</v>
      </c>
      <c r="C3" s="30" t="s">
        <v>40</v>
      </c>
      <c r="D3" s="15" t="s">
        <v>41</v>
      </c>
    </row>
    <row r="4">
      <c r="A4" s="16" t="s">
        <v>42</v>
      </c>
      <c r="B4" s="31">
        <v>100000.0</v>
      </c>
      <c r="C4" s="32">
        <v>1.0</v>
      </c>
      <c r="D4" s="16" t="s">
        <v>43</v>
      </c>
    </row>
    <row r="5">
      <c r="A5" s="33" t="s">
        <v>44</v>
      </c>
      <c r="B5" s="34">
        <f t="shared" ref="B5:B8" si="1">B4*C5</f>
        <v>3000</v>
      </c>
      <c r="C5" s="35">
        <v>0.03</v>
      </c>
      <c r="D5" s="33" t="s">
        <v>45</v>
      </c>
    </row>
    <row r="6">
      <c r="A6" s="20" t="s">
        <v>46</v>
      </c>
      <c r="B6" s="36">
        <f t="shared" si="1"/>
        <v>600</v>
      </c>
      <c r="C6" s="37">
        <v>0.2</v>
      </c>
      <c r="D6" s="20" t="s">
        <v>20</v>
      </c>
    </row>
    <row r="7">
      <c r="A7" s="38" t="s">
        <v>47</v>
      </c>
      <c r="B7" s="39">
        <f t="shared" si="1"/>
        <v>240</v>
      </c>
      <c r="C7" s="40">
        <v>0.4</v>
      </c>
      <c r="D7" s="38" t="s">
        <v>48</v>
      </c>
    </row>
    <row r="8">
      <c r="A8" s="27" t="s">
        <v>49</v>
      </c>
      <c r="B8" s="41">
        <f t="shared" si="1"/>
        <v>12</v>
      </c>
      <c r="C8" s="42">
        <v>0.05</v>
      </c>
      <c r="D8" s="27" t="s">
        <v>50</v>
      </c>
    </row>
    <row r="9">
      <c r="A9" s="9"/>
      <c r="B9" s="43"/>
      <c r="C9" s="43"/>
      <c r="D9" s="9"/>
    </row>
    <row r="10">
      <c r="A10" s="44" t="s">
        <v>23</v>
      </c>
      <c r="B10" s="45"/>
      <c r="C10" s="43"/>
      <c r="D10" s="9"/>
    </row>
    <row r="11">
      <c r="A11" s="44" t="s">
        <v>51</v>
      </c>
      <c r="B11" s="45">
        <v>9.99</v>
      </c>
      <c r="C11" s="43"/>
      <c r="D11" s="9"/>
    </row>
    <row r="12">
      <c r="A12" s="44" t="s">
        <v>52</v>
      </c>
      <c r="B12" s="46">
        <f>B8*B11</f>
        <v>119.88</v>
      </c>
      <c r="C12" s="43"/>
      <c r="D12" s="9"/>
    </row>
    <row r="13">
      <c r="A13" s="44" t="s">
        <v>53</v>
      </c>
      <c r="B13" s="46">
        <f>B12*12</f>
        <v>1438.56</v>
      </c>
      <c r="C13" s="43"/>
      <c r="D13" s="9"/>
    </row>
    <row r="14">
      <c r="A14" s="9"/>
      <c r="B14" s="43"/>
      <c r="C14" s="43"/>
      <c r="D14" s="9"/>
    </row>
    <row r="15">
      <c r="A15" s="47" t="s">
        <v>54</v>
      </c>
      <c r="B15" s="43"/>
      <c r="C15" s="43"/>
      <c r="D15" s="9"/>
    </row>
    <row r="16">
      <c r="A16" s="48" t="s">
        <v>55</v>
      </c>
      <c r="B16" s="49" t="s">
        <v>56</v>
      </c>
      <c r="C16" s="49" t="s">
        <v>57</v>
      </c>
      <c r="D16" s="48" t="s">
        <v>58</v>
      </c>
      <c r="E16" s="50"/>
    </row>
    <row r="17">
      <c r="A17" s="51" t="s">
        <v>59</v>
      </c>
      <c r="B17" s="52">
        <v>0.05</v>
      </c>
      <c r="C17" s="34">
        <f>B4*B17*C6*C7*C8*B11</f>
        <v>199.8</v>
      </c>
      <c r="D17" s="53">
        <f>C17-B12</f>
        <v>79.92</v>
      </c>
      <c r="E17" s="29"/>
    </row>
    <row r="18">
      <c r="A18" s="51" t="s">
        <v>60</v>
      </c>
      <c r="B18" s="52">
        <v>0.25</v>
      </c>
      <c r="C18" s="54">
        <f>B4*C5*B18*C7*C8*B11</f>
        <v>149.85</v>
      </c>
      <c r="D18" s="53">
        <f>C18-B12</f>
        <v>29.97</v>
      </c>
    </row>
    <row r="19">
      <c r="A19" s="51" t="s">
        <v>61</v>
      </c>
      <c r="B19" s="52">
        <v>0.08</v>
      </c>
      <c r="C19" s="54">
        <f>B4*C5*C6*C7*B19*B11</f>
        <v>191.808</v>
      </c>
      <c r="D19" s="53">
        <f>C19-B12</f>
        <v>71.928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4.63"/>
    <col customWidth="1" min="3" max="3" width="12.75"/>
    <col customWidth="1" min="4" max="4" width="31.25"/>
  </cols>
  <sheetData>
    <row r="1">
      <c r="A1" s="29" t="s">
        <v>62</v>
      </c>
    </row>
    <row r="3">
      <c r="A3" s="55" t="s">
        <v>63</v>
      </c>
      <c r="B3" s="55" t="s">
        <v>64</v>
      </c>
      <c r="C3" s="55" t="s">
        <v>65</v>
      </c>
      <c r="D3" s="55" t="s">
        <v>41</v>
      </c>
    </row>
    <row r="4">
      <c r="A4" s="56" t="s">
        <v>66</v>
      </c>
      <c r="B4" s="56">
        <v>1000.0</v>
      </c>
      <c r="C4" s="57">
        <v>1.0</v>
      </c>
      <c r="D4" s="56" t="s">
        <v>67</v>
      </c>
    </row>
    <row r="5">
      <c r="A5" s="58" t="s">
        <v>68</v>
      </c>
      <c r="B5" s="58">
        <f>B4*C5</f>
        <v>750</v>
      </c>
      <c r="C5" s="59">
        <v>0.75</v>
      </c>
      <c r="D5" s="58" t="s">
        <v>69</v>
      </c>
    </row>
    <row r="6">
      <c r="A6" s="60" t="s">
        <v>70</v>
      </c>
      <c r="B6" s="60">
        <f>B4*C6</f>
        <v>600</v>
      </c>
      <c r="C6" s="61">
        <v>0.6</v>
      </c>
      <c r="D6" s="60" t="s">
        <v>71</v>
      </c>
    </row>
    <row r="7">
      <c r="A7" s="62" t="s">
        <v>72</v>
      </c>
      <c r="B7" s="62">
        <f>B4*C7</f>
        <v>400</v>
      </c>
      <c r="C7" s="63">
        <v>0.4</v>
      </c>
      <c r="D7" s="62" t="s">
        <v>73</v>
      </c>
    </row>
    <row r="8">
      <c r="A8" s="64" t="s">
        <v>74</v>
      </c>
      <c r="B8" s="64">
        <f>B4*C8</f>
        <v>250</v>
      </c>
      <c r="C8" s="65">
        <v>0.25</v>
      </c>
      <c r="D8" s="64" t="s">
        <v>75</v>
      </c>
    </row>
    <row r="10">
      <c r="A10" s="66" t="s">
        <v>76</v>
      </c>
    </row>
    <row r="11">
      <c r="A11" s="48" t="s">
        <v>77</v>
      </c>
      <c r="B11" s="48" t="s">
        <v>78</v>
      </c>
      <c r="C11" s="48" t="s">
        <v>79</v>
      </c>
      <c r="D11" s="48" t="s">
        <v>80</v>
      </c>
    </row>
    <row r="12">
      <c r="A12" s="67" t="s">
        <v>81</v>
      </c>
      <c r="B12" s="68">
        <f t="shared" ref="B12:B15" si="1">B4-B5</f>
        <v>250</v>
      </c>
      <c r="C12" s="69">
        <f>B12/B4</f>
        <v>0.25</v>
      </c>
      <c r="D12" s="67" t="s">
        <v>82</v>
      </c>
    </row>
    <row r="13">
      <c r="A13" s="67" t="s">
        <v>83</v>
      </c>
      <c r="B13" s="68">
        <f t="shared" si="1"/>
        <v>150</v>
      </c>
      <c r="C13" s="69">
        <f>B13/B4</f>
        <v>0.15</v>
      </c>
      <c r="D13" s="67" t="s">
        <v>84</v>
      </c>
    </row>
    <row r="14">
      <c r="A14" s="67" t="s">
        <v>85</v>
      </c>
      <c r="B14" s="68">
        <f t="shared" si="1"/>
        <v>200</v>
      </c>
      <c r="C14" s="69">
        <f>B14/B4</f>
        <v>0.2</v>
      </c>
      <c r="D14" s="67" t="s">
        <v>86</v>
      </c>
    </row>
    <row r="15">
      <c r="A15" s="67" t="s">
        <v>87</v>
      </c>
      <c r="B15" s="68">
        <f t="shared" si="1"/>
        <v>150</v>
      </c>
      <c r="C15" s="69">
        <f>B15/B4</f>
        <v>0.15</v>
      </c>
      <c r="D15" s="67" t="s">
        <v>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13"/>
    <col customWidth="1" min="3" max="3" width="14.38"/>
    <col customWidth="1" min="4" max="4" width="10.75"/>
    <col customWidth="1" min="5" max="5" width="14.0"/>
  </cols>
  <sheetData>
    <row r="1">
      <c r="A1" s="50" t="s">
        <v>89</v>
      </c>
    </row>
    <row r="3">
      <c r="A3" s="70" t="s">
        <v>90</v>
      </c>
      <c r="B3" s="70" t="s">
        <v>91</v>
      </c>
      <c r="C3" s="70" t="s">
        <v>92</v>
      </c>
      <c r="D3" s="70" t="s">
        <v>33</v>
      </c>
      <c r="E3" s="70" t="s">
        <v>23</v>
      </c>
    </row>
    <row r="4">
      <c r="A4" s="51" t="s">
        <v>93</v>
      </c>
      <c r="B4" s="71">
        <v>600.0</v>
      </c>
      <c r="C4" s="43">
        <f>B4</f>
        <v>600</v>
      </c>
      <c r="D4" s="43">
        <f t="shared" ref="D4:D15" si="1">C4*0.05</f>
        <v>30</v>
      </c>
      <c r="E4" s="43">
        <f t="shared" ref="E4:E15" si="2">D4*9.99</f>
        <v>299.7</v>
      </c>
    </row>
    <row r="5">
      <c r="A5" s="72" t="s">
        <v>94</v>
      </c>
      <c r="B5" s="73">
        <v>650.0</v>
      </c>
      <c r="C5" s="74">
        <f t="shared" ref="C5:C6" si="3">B5 + (C4*0.4)</f>
        <v>890</v>
      </c>
      <c r="D5" s="74">
        <f t="shared" si="1"/>
        <v>44.5</v>
      </c>
      <c r="E5" s="74">
        <f t="shared" si="2"/>
        <v>444.555</v>
      </c>
    </row>
    <row r="6">
      <c r="A6" s="51" t="s">
        <v>95</v>
      </c>
      <c r="B6" s="71">
        <v>700.0</v>
      </c>
      <c r="C6" s="43">
        <f t="shared" si="3"/>
        <v>1056</v>
      </c>
      <c r="D6" s="43">
        <f t="shared" si="1"/>
        <v>52.8</v>
      </c>
      <c r="E6" s="43">
        <f t="shared" si="2"/>
        <v>527.472</v>
      </c>
    </row>
    <row r="7">
      <c r="A7" s="72" t="s">
        <v>96</v>
      </c>
      <c r="B7" s="73">
        <v>750.0</v>
      </c>
      <c r="C7" s="74">
        <f t="shared" ref="C7:C15" si="4">B7+(C6*0.4)</f>
        <v>1172.4</v>
      </c>
      <c r="D7" s="74">
        <f t="shared" si="1"/>
        <v>58.62</v>
      </c>
      <c r="E7" s="74">
        <f t="shared" si="2"/>
        <v>585.6138</v>
      </c>
    </row>
    <row r="8">
      <c r="A8" s="51" t="s">
        <v>97</v>
      </c>
      <c r="B8" s="71">
        <v>800.0</v>
      </c>
      <c r="C8" s="43">
        <f t="shared" si="4"/>
        <v>1268.96</v>
      </c>
      <c r="D8" s="43">
        <f t="shared" si="1"/>
        <v>63.448</v>
      </c>
      <c r="E8" s="43">
        <f t="shared" si="2"/>
        <v>633.84552</v>
      </c>
    </row>
    <row r="9">
      <c r="A9" s="72" t="s">
        <v>98</v>
      </c>
      <c r="B9" s="73">
        <v>850.0</v>
      </c>
      <c r="C9" s="74">
        <f t="shared" si="4"/>
        <v>1357.584</v>
      </c>
      <c r="D9" s="74">
        <f t="shared" si="1"/>
        <v>67.8792</v>
      </c>
      <c r="E9" s="74">
        <f t="shared" si="2"/>
        <v>678.113208</v>
      </c>
    </row>
    <row r="10">
      <c r="A10" s="51" t="s">
        <v>99</v>
      </c>
      <c r="B10" s="71">
        <v>900.0</v>
      </c>
      <c r="C10" s="43">
        <f t="shared" si="4"/>
        <v>1443.0336</v>
      </c>
      <c r="D10" s="43">
        <f t="shared" si="1"/>
        <v>72.15168</v>
      </c>
      <c r="E10" s="43">
        <f t="shared" si="2"/>
        <v>720.7952832</v>
      </c>
    </row>
    <row r="11">
      <c r="A11" s="72" t="s">
        <v>100</v>
      </c>
      <c r="B11" s="73">
        <v>950.0</v>
      </c>
      <c r="C11" s="74">
        <f t="shared" si="4"/>
        <v>1527.21344</v>
      </c>
      <c r="D11" s="74">
        <f t="shared" si="1"/>
        <v>76.360672</v>
      </c>
      <c r="E11" s="74">
        <f t="shared" si="2"/>
        <v>762.8431133</v>
      </c>
    </row>
    <row r="12">
      <c r="A12" s="51" t="s">
        <v>101</v>
      </c>
      <c r="B12" s="71">
        <v>1000.0</v>
      </c>
      <c r="C12" s="43">
        <f t="shared" si="4"/>
        <v>1610.885376</v>
      </c>
      <c r="D12" s="43">
        <f t="shared" si="1"/>
        <v>80.5442688</v>
      </c>
      <c r="E12" s="43">
        <f t="shared" si="2"/>
        <v>804.6372453</v>
      </c>
    </row>
    <row r="13">
      <c r="A13" s="72" t="s">
        <v>102</v>
      </c>
      <c r="B13" s="73">
        <v>1050.0</v>
      </c>
      <c r="C13" s="74">
        <f t="shared" si="4"/>
        <v>1694.35415</v>
      </c>
      <c r="D13" s="74">
        <f t="shared" si="1"/>
        <v>84.71770752</v>
      </c>
      <c r="E13" s="74">
        <f t="shared" si="2"/>
        <v>846.3298981</v>
      </c>
    </row>
    <row r="14">
      <c r="A14" s="51" t="s">
        <v>103</v>
      </c>
      <c r="B14" s="71">
        <v>1100.0</v>
      </c>
      <c r="C14" s="43">
        <f t="shared" si="4"/>
        <v>1777.74166</v>
      </c>
      <c r="D14" s="43">
        <f t="shared" si="1"/>
        <v>88.88708301</v>
      </c>
      <c r="E14" s="43">
        <f t="shared" si="2"/>
        <v>887.9819592</v>
      </c>
    </row>
    <row r="15">
      <c r="A15" s="72" t="s">
        <v>104</v>
      </c>
      <c r="B15" s="73">
        <v>1150.0</v>
      </c>
      <c r="C15" s="74">
        <f t="shared" si="4"/>
        <v>1861.096664</v>
      </c>
      <c r="D15" s="74">
        <f t="shared" si="1"/>
        <v>93.0548332</v>
      </c>
      <c r="E15" s="74">
        <f t="shared" si="2"/>
        <v>929.6177837</v>
      </c>
    </row>
    <row r="17">
      <c r="A17" s="75" t="s">
        <v>105</v>
      </c>
      <c r="B17" s="76">
        <f>SUM(B4:B15)</f>
        <v>10500</v>
      </c>
      <c r="C17" s="76">
        <f t="shared" ref="C17:E17" si="5">sum(C4:C15)</f>
        <v>16259.26889</v>
      </c>
      <c r="D17" s="76">
        <f t="shared" si="5"/>
        <v>812.9634445</v>
      </c>
      <c r="E17" s="76">
        <f t="shared" si="5"/>
        <v>8121.504811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</cols>
  <sheetData>
    <row r="1">
      <c r="A1" s="29" t="s">
        <v>106</v>
      </c>
    </row>
    <row r="3">
      <c r="A3" s="50" t="s">
        <v>107</v>
      </c>
      <c r="B3" s="77" t="s">
        <v>34</v>
      </c>
      <c r="C3" s="78" t="s">
        <v>35</v>
      </c>
      <c r="D3" s="79" t="s">
        <v>36</v>
      </c>
    </row>
    <row r="4">
      <c r="A4" s="29" t="s">
        <v>108</v>
      </c>
      <c r="B4" s="80">
        <v>0.01</v>
      </c>
      <c r="C4" s="80">
        <v>0.03</v>
      </c>
      <c r="D4" s="80">
        <v>0.05</v>
      </c>
    </row>
    <row r="5">
      <c r="A5" s="29" t="s">
        <v>109</v>
      </c>
      <c r="B5" s="80">
        <v>0.1</v>
      </c>
      <c r="C5" s="80">
        <v>0.2</v>
      </c>
      <c r="D5" s="80">
        <v>0.3</v>
      </c>
    </row>
    <row r="6">
      <c r="A6" s="29" t="s">
        <v>110</v>
      </c>
      <c r="B6" s="80">
        <v>0.2</v>
      </c>
      <c r="C6" s="80">
        <v>0.4</v>
      </c>
      <c r="D6" s="80">
        <v>0.6</v>
      </c>
    </row>
    <row r="7">
      <c r="A7" s="29" t="s">
        <v>111</v>
      </c>
      <c r="B7" s="80">
        <v>0.02</v>
      </c>
      <c r="C7" s="80">
        <v>0.05</v>
      </c>
      <c r="D7" s="80">
        <v>0.08</v>
      </c>
    </row>
    <row r="8">
      <c r="A8" s="29" t="s">
        <v>112</v>
      </c>
      <c r="B8" s="29">
        <v>9.99</v>
      </c>
      <c r="C8" s="29">
        <v>9.99</v>
      </c>
      <c r="D8" s="29">
        <v>9.99</v>
      </c>
    </row>
    <row r="10">
      <c r="A10" s="81" t="s">
        <v>113</v>
      </c>
      <c r="B10" s="9"/>
      <c r="C10" s="9"/>
      <c r="D10" s="9"/>
    </row>
    <row r="11">
      <c r="A11" s="48" t="s">
        <v>15</v>
      </c>
      <c r="B11" s="67">
        <v>100000.0</v>
      </c>
      <c r="C11" s="20">
        <v>100000.0</v>
      </c>
      <c r="D11" s="33">
        <v>100000.0</v>
      </c>
    </row>
    <row r="12">
      <c r="A12" s="48" t="s">
        <v>17</v>
      </c>
      <c r="B12" s="68">
        <f t="shared" ref="B12:D12" si="1">B11*B4</f>
        <v>1000</v>
      </c>
      <c r="C12" s="21">
        <f t="shared" si="1"/>
        <v>3000</v>
      </c>
      <c r="D12" s="53">
        <f t="shared" si="1"/>
        <v>5000</v>
      </c>
    </row>
    <row r="13">
      <c r="A13" s="48" t="s">
        <v>19</v>
      </c>
      <c r="B13" s="68">
        <f t="shared" ref="B13:D13" si="2">B12*B5</f>
        <v>100</v>
      </c>
      <c r="C13" s="21">
        <f t="shared" si="2"/>
        <v>600</v>
      </c>
      <c r="D13" s="53">
        <f t="shared" si="2"/>
        <v>1500</v>
      </c>
    </row>
    <row r="14">
      <c r="A14" s="48" t="s">
        <v>114</v>
      </c>
      <c r="B14" s="68">
        <f t="shared" ref="B14:D14" si="3">B13*B6</f>
        <v>20</v>
      </c>
      <c r="C14" s="21">
        <f t="shared" si="3"/>
        <v>240</v>
      </c>
      <c r="D14" s="53">
        <f t="shared" si="3"/>
        <v>900</v>
      </c>
    </row>
    <row r="15">
      <c r="A15" s="48" t="s">
        <v>21</v>
      </c>
      <c r="B15" s="68">
        <f t="shared" ref="B15:D15" si="4">B14*B7</f>
        <v>0.4</v>
      </c>
      <c r="C15" s="21">
        <f t="shared" si="4"/>
        <v>12</v>
      </c>
      <c r="D15" s="53">
        <f t="shared" si="4"/>
        <v>72</v>
      </c>
    </row>
    <row r="16">
      <c r="A16" s="48" t="s">
        <v>23</v>
      </c>
      <c r="B16" s="68">
        <f t="shared" ref="B16:D16" si="5">B15*B8</f>
        <v>3.996</v>
      </c>
      <c r="C16" s="21">
        <f t="shared" si="5"/>
        <v>119.88</v>
      </c>
      <c r="D16" s="53">
        <f t="shared" si="5"/>
        <v>719.28</v>
      </c>
    </row>
    <row r="17">
      <c r="A17" s="48" t="s">
        <v>25</v>
      </c>
      <c r="B17" s="68">
        <f t="shared" ref="B17:D17" si="6">B16*12</f>
        <v>47.952</v>
      </c>
      <c r="C17" s="21">
        <f t="shared" si="6"/>
        <v>1438.56</v>
      </c>
      <c r="D17" s="53">
        <f t="shared" si="6"/>
        <v>8631.36</v>
      </c>
    </row>
  </sheetData>
  <drawing r:id="rId1"/>
</worksheet>
</file>